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20Ignacio.Lara\Documents\Random Projects\"/>
    </mc:Choice>
  </mc:AlternateContent>
  <bookViews>
    <workbookView xWindow="0" yWindow="0" windowWidth="23040" windowHeight="9192"/>
  </bookViews>
  <sheets>
    <sheet name="Main" sheetId="1" r:id="rId1"/>
    <sheet name="Control" sheetId="2" r:id="rId2"/>
    <sheet name="Log" sheetId="4" r:id="rId3"/>
  </sheets>
  <functionGroups builtInGroupCount="18"/>
  <definedNames>
    <definedName name="AreaStatus">Main!$I$20</definedName>
    <definedName name="AsOfTime">Main!$L$16</definedName>
    <definedName name="CrewStatus">Main!$I$18</definedName>
    <definedName name="HighItems">Main!$H$7:$H$23</definedName>
    <definedName name="LaunchStatus">Main!$I$14</definedName>
    <definedName name="MedItems">Main!$F$7:$F$23</definedName>
    <definedName name="Remarks">Main!$I$22</definedName>
    <definedName name="SCONum">Main!$I$7</definedName>
    <definedName name="SPLAStatus">Main!$I$24</definedName>
    <definedName name="SystemStatus">Main!$E$27</definedName>
  </definedNames>
  <calcPr calcId="162913"/>
  <customWorkbookViews>
    <customWorkbookView name="dfd" guid="{E8033D3C-DF7C-4BC5-87D6-21AC5DB2383B}" maximized="1" xWindow="-11" yWindow="10" windowWidth="2902" windowHeight="1561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I7" i="1" l="1"/>
</calcChain>
</file>

<file path=xl/sharedStrings.xml><?xml version="1.0" encoding="utf-8"?>
<sst xmlns="http://schemas.openxmlformats.org/spreadsheetml/2006/main" count="95" uniqueCount="85">
  <si>
    <t>Unrestricted</t>
  </si>
  <si>
    <t>Dual</t>
  </si>
  <si>
    <t>Patterns Only</t>
  </si>
  <si>
    <t>N Only</t>
  </si>
  <si>
    <t>Crew</t>
  </si>
  <si>
    <t>Area</t>
  </si>
  <si>
    <t>S Only</t>
  </si>
  <si>
    <t>No Patterns</t>
  </si>
  <si>
    <t>Both Areas</t>
  </si>
  <si>
    <t>SCO ORM Calculator</t>
  </si>
  <si>
    <t>Go-Status</t>
  </si>
  <si>
    <t>Crosswinds</t>
  </si>
  <si>
    <t>Turbulence</t>
  </si>
  <si>
    <t>If applicable, make any mark in cell</t>
  </si>
  <si>
    <t>SPLA</t>
  </si>
  <si>
    <t>High (+2)</t>
  </si>
  <si>
    <t>Med (+1)</t>
  </si>
  <si>
    <t>Visibility</t>
  </si>
  <si>
    <t>5-7 SM</t>
  </si>
  <si>
    <t>3-5 SM</t>
  </si>
  <si>
    <t>Thunderstorms</t>
  </si>
  <si>
    <t>Forecast</t>
  </si>
  <si>
    <t>Vicinity</t>
  </si>
  <si>
    <t>9500'-10,000'</t>
  </si>
  <si>
    <t>8-12 kts</t>
  </si>
  <si>
    <t>Wet</t>
  </si>
  <si>
    <t>Moderate</t>
  </si>
  <si>
    <t>7 to 10</t>
  </si>
  <si>
    <t>Active</t>
  </si>
  <si>
    <t>WBGT Index</t>
  </si>
  <si>
    <t>Density Altitude</t>
  </si>
  <si>
    <t>Microburst Potential</t>
  </si>
  <si>
    <t>Winds / Gusts</t>
  </si>
  <si>
    <t>Wind Shear</t>
  </si>
  <si>
    <t>Windchill</t>
  </si>
  <si>
    <t>Runway Condition</t>
  </si>
  <si>
    <t>Icing</t>
  </si>
  <si>
    <t>Bird Status (BWC)</t>
  </si>
  <si>
    <t>Watch</t>
  </si>
  <si>
    <t>Risk Category</t>
  </si>
  <si>
    <r>
      <t>85-87.9</t>
    </r>
    <r>
      <rPr>
        <sz val="8"/>
        <color theme="1"/>
        <rFont val="Calibri"/>
        <family val="2"/>
      </rPr>
      <t>⁰</t>
    </r>
    <r>
      <rPr>
        <sz val="8"/>
        <color theme="1"/>
        <rFont val="Calibri"/>
        <family val="2"/>
        <scheme val="minor"/>
      </rPr>
      <t xml:space="preserve"> F</t>
    </r>
  </si>
  <si>
    <t>&gt;10,000'</t>
  </si>
  <si>
    <t>&gt; 12 kts</t>
  </si>
  <si>
    <t>≤ 19⁰ F</t>
  </si>
  <si>
    <t>Standing Water</t>
  </si>
  <si>
    <t>Occasional MOD</t>
  </si>
  <si>
    <t>&gt; Occasional MOD</t>
  </si>
  <si>
    <t>Reported</t>
  </si>
  <si>
    <t>≥ 11</t>
  </si>
  <si>
    <t>N/A</t>
  </si>
  <si>
    <t>Area
Available</t>
  </si>
  <si>
    <t>STATUS</t>
  </si>
  <si>
    <t>SCO ORM</t>
  </si>
  <si>
    <t>Parachute / Jump Operations</t>
  </si>
  <si>
    <t>Powered Flight (PFP) Operations</t>
  </si>
  <si>
    <t>RPA/UAS Operations</t>
  </si>
  <si>
    <r>
      <t>35-20</t>
    </r>
    <r>
      <rPr>
        <sz val="8"/>
        <color theme="1"/>
        <rFont val="Calibri"/>
        <family val="2"/>
      </rPr>
      <t>⁰F</t>
    </r>
  </si>
  <si>
    <r>
      <t>88-89.9</t>
    </r>
    <r>
      <rPr>
        <sz val="8"/>
        <color theme="1"/>
        <rFont val="Calibri"/>
        <family val="2"/>
      </rPr>
      <t>⁰</t>
    </r>
    <r>
      <rPr>
        <sz val="8"/>
        <color theme="1"/>
        <rFont val="Calibri"/>
        <family val="2"/>
        <scheme val="minor"/>
      </rPr>
      <t xml:space="preserve"> F</t>
    </r>
  </si>
  <si>
    <t>Number of Sailplanes</t>
  </si>
  <si>
    <t>Approved for Launch</t>
  </si>
  <si>
    <t>Warning*</t>
  </si>
  <si>
    <t>16-22 kts / 5-10 kts</t>
  </si>
  <si>
    <t>≥ 23 kts</t>
  </si>
  <si>
    <t>LLWS Advisory*</t>
  </si>
  <si>
    <t>Severe*</t>
  </si>
  <si>
    <t>*Triggers stop-launch (non-waivable).</t>
  </si>
  <si>
    <t>Remarks</t>
  </si>
  <si>
    <t>SCO ORM Status Log</t>
  </si>
  <si>
    <t>Time</t>
  </si>
  <si>
    <t>Event</t>
  </si>
  <si>
    <t>System Status:</t>
  </si>
  <si>
    <t>Category</t>
  </si>
  <si>
    <t>Stop Launch - Wx</t>
  </si>
  <si>
    <t>Stop Launch - EMERG</t>
  </si>
  <si>
    <t>Stop Launch - Ops</t>
  </si>
  <si>
    <t>CANX - Wx</t>
  </si>
  <si>
    <t>CANX - Ops</t>
  </si>
  <si>
    <t>Standby - Wx</t>
  </si>
  <si>
    <t>Standby - Other</t>
  </si>
  <si>
    <t>CANX - Other</t>
  </si>
  <si>
    <t>In Use</t>
  </si>
  <si>
    <t>v2.0alpha, CAO 19 Sep 19. Developed for 94 FTS. POC: C1C Ignacio Lara (ignacio.lara@us.af.mil)</t>
  </si>
  <si>
    <t>AS OF / UNTIL</t>
  </si>
  <si>
    <t>0934</t>
  </si>
  <si>
    <t>Waiting for initial status...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</si>
</sst>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EBF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3" borderId="0" xfId="0" applyFill="1"/>
    <xf numFmtId="0" fontId="0" fillId="4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16" fontId="4" fillId="0" borderId="1" xfId="0" applyNumberFormat="1" applyFont="1" applyBorder="1" applyAlignment="1">
      <alignment horizontal="center"/>
    </xf>
    <xf numFmtId="0" fontId="6" fillId="3" borderId="11" xfId="0" applyFont="1" applyFill="1" applyBorder="1"/>
    <xf numFmtId="0" fontId="6" fillId="3" borderId="14" xfId="0" applyFont="1" applyFill="1" applyBorder="1"/>
    <xf numFmtId="0" fontId="7" fillId="5" borderId="11" xfId="0" applyFont="1" applyFill="1" applyBorder="1" applyAlignment="1">
      <alignment vertical="center"/>
    </xf>
    <xf numFmtId="0" fontId="0" fillId="2" borderId="12" xfId="0" applyFill="1" applyBorder="1" applyAlignment="1" applyProtection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0" fillId="4" borderId="19" xfId="0" applyFill="1" applyBorder="1" applyAlignment="1" applyProtection="1">
      <alignment horizontal="center"/>
      <protection locked="0"/>
    </xf>
    <xf numFmtId="0" fontId="0" fillId="4" borderId="21" xfId="0" applyFill="1" applyBorder="1" applyAlignment="1" applyProtection="1">
      <alignment horizontal="center"/>
      <protection locked="0"/>
    </xf>
    <xf numFmtId="0" fontId="12" fillId="0" borderId="13" xfId="0" applyFont="1" applyBorder="1" applyAlignment="1">
      <alignment horizontal="center"/>
    </xf>
    <xf numFmtId="0" fontId="0" fillId="2" borderId="19" xfId="0" applyFill="1" applyBorder="1" applyAlignment="1" applyProtection="1">
      <alignment horizontal="center"/>
      <protection locked="0"/>
    </xf>
    <xf numFmtId="0" fontId="13" fillId="3" borderId="0" xfId="0" applyFont="1" applyFill="1"/>
    <xf numFmtId="0" fontId="0" fillId="0" borderId="0" xfId="0" applyAlignment="1">
      <alignment wrapText="1"/>
    </xf>
    <xf numFmtId="0" fontId="0" fillId="3" borderId="16" xfId="0" applyFill="1" applyBorder="1"/>
    <xf numFmtId="0" fontId="0" fillId="3" borderId="16" xfId="0" applyFont="1" applyFill="1" applyBorder="1"/>
    <xf numFmtId="0" fontId="15" fillId="8" borderId="16" xfId="0" applyFont="1" applyFill="1" applyBorder="1" applyAlignment="1">
      <alignment horizontal="right"/>
    </xf>
    <xf numFmtId="0" fontId="0" fillId="0" borderId="0" xfId="0" applyAlignment="1">
      <alignment vertical="top"/>
    </xf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0" fontId="6" fillId="5" borderId="1" xfId="0" applyFont="1" applyFill="1" applyBorder="1" applyAlignment="1">
      <alignment horizont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0" fontId="16" fillId="3" borderId="3" xfId="0" applyFont="1" applyFill="1" applyBorder="1" applyAlignment="1" applyProtection="1">
      <alignment horizontal="center" vertical="center" wrapText="1"/>
      <protection locked="0"/>
    </xf>
    <xf numFmtId="0" fontId="16" fillId="3" borderId="4" xfId="0" applyFont="1" applyFill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center" vertical="center"/>
      <protection locked="0"/>
    </xf>
    <xf numFmtId="49" fontId="3" fillId="7" borderId="12" xfId="0" applyNumberFormat="1" applyFont="1" applyFill="1" applyBorder="1" applyAlignment="1" applyProtection="1">
      <alignment horizontal="center" vertical="center"/>
      <protection locked="0"/>
    </xf>
    <xf numFmtId="49" fontId="3" fillId="7" borderId="18" xfId="0" applyNumberFormat="1" applyFont="1" applyFill="1" applyBorder="1" applyAlignment="1" applyProtection="1">
      <alignment horizontal="center" vertical="center"/>
      <protection locked="0"/>
    </xf>
    <xf numFmtId="0" fontId="14" fillId="3" borderId="3" xfId="0" applyFont="1" applyFill="1" applyBorder="1" applyAlignment="1" applyProtection="1">
      <alignment horizontal="center" vertical="center"/>
      <protection locked="0"/>
    </xf>
    <xf numFmtId="0" fontId="14" fillId="3" borderId="4" xfId="0" applyFont="1" applyFill="1" applyBorder="1" applyAlignment="1" applyProtection="1">
      <alignment horizontal="center" vertical="center"/>
      <protection locked="0"/>
    </xf>
    <xf numFmtId="0" fontId="14" fillId="3" borderId="2" xfId="0" applyFont="1" applyFill="1" applyBorder="1" applyAlignment="1" applyProtection="1">
      <alignment horizontal="center" vertical="center"/>
      <protection locked="0"/>
    </xf>
    <xf numFmtId="0" fontId="14" fillId="3" borderId="0" xfId="0" applyFont="1" applyFill="1" applyBorder="1" applyAlignment="1" applyProtection="1">
      <alignment horizontal="center" vertical="center"/>
      <protection locked="0"/>
    </xf>
    <xf numFmtId="0" fontId="14" fillId="3" borderId="5" xfId="0" applyFont="1" applyFill="1" applyBorder="1" applyAlignment="1" applyProtection="1">
      <alignment horizontal="center" vertical="center"/>
      <protection locked="0"/>
    </xf>
    <xf numFmtId="0" fontId="14" fillId="3" borderId="6" xfId="0" applyFont="1" applyFill="1" applyBorder="1" applyAlignment="1" applyProtection="1">
      <alignment horizontal="center" vertical="center"/>
      <protection locked="0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11" fillId="5" borderId="2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9" fillId="6" borderId="2" xfId="0" applyFont="1" applyFill="1" applyBorder="1" applyAlignment="1" applyProtection="1">
      <alignment horizontal="center" vertical="center"/>
    </xf>
    <xf numFmtId="0" fontId="9" fillId="6" borderId="0" xfId="0" applyFont="1" applyFill="1" applyBorder="1" applyAlignment="1" applyProtection="1">
      <alignment horizontal="center" vertical="center"/>
    </xf>
    <xf numFmtId="0" fontId="9" fillId="6" borderId="5" xfId="0" applyFont="1" applyFill="1" applyBorder="1" applyAlignment="1" applyProtection="1">
      <alignment horizontal="center" vertical="center"/>
    </xf>
    <xf numFmtId="0" fontId="9" fillId="6" borderId="6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</cellXfs>
  <cellStyles count="1">
    <cellStyle name="Normal" xfId="0" builtinId="0"/>
  </cellStyles>
  <dxfs count="19">
    <dxf>
      <fill>
        <patternFill>
          <bgColor rgb="FFFF9999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ont>
        <b/>
        <i/>
      </font>
      <fill>
        <patternFill>
          <bgColor theme="7" tint="0.79998168889431442"/>
        </patternFill>
      </fill>
    </dxf>
    <dxf>
      <font>
        <b/>
        <i/>
      </font>
      <fill>
        <patternFill>
          <bgColor rgb="FFFF9999"/>
        </patternFill>
      </fill>
    </dxf>
    <dxf>
      <font>
        <b/>
        <i/>
      </font>
    </dxf>
    <dxf>
      <font>
        <b/>
        <i/>
      </font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9999FF"/>
        </patternFill>
      </fill>
    </dxf>
    <dxf>
      <fill>
        <patternFill>
          <bgColor rgb="FF9999FF"/>
        </patternFill>
      </fill>
    </dxf>
    <dxf>
      <fill>
        <patternFill>
          <bgColor rgb="FFFF66F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68580</xdr:rowOff>
        </xdr:from>
        <xdr:to>
          <xdr:col>8</xdr:col>
          <xdr:colOff>762000</xdr:colOff>
          <xdr:row>2</xdr:row>
          <xdr:rowOff>129540</xdr:rowOff>
        </xdr:to>
        <xdr:sp macro="" textlink="">
          <xdr:nvSpPr>
            <xdr:cNvPr id="1025" name="Updat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Status Update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167640</xdr:rowOff>
        </xdr:from>
        <xdr:to>
          <xdr:col>3</xdr:col>
          <xdr:colOff>1584960</xdr:colOff>
          <xdr:row>2</xdr:row>
          <xdr:rowOff>22860</xdr:rowOff>
        </xdr:to>
        <xdr:sp macro="" textlink="">
          <xdr:nvSpPr>
            <xdr:cNvPr id="1026" name="Reset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Status/Clear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731520</xdr:colOff>
          <xdr:row>0</xdr:row>
          <xdr:rowOff>175260</xdr:rowOff>
        </xdr:from>
        <xdr:to>
          <xdr:col>11</xdr:col>
          <xdr:colOff>693420</xdr:colOff>
          <xdr:row>2</xdr:row>
          <xdr:rowOff>30480</xdr:rowOff>
        </xdr:to>
        <xdr:sp macro="" textlink="">
          <xdr:nvSpPr>
            <xdr:cNvPr id="1030" name="Export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Status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L27"/>
  <sheetViews>
    <sheetView showGridLines="0" tabSelected="1" zoomScaleNormal="100" workbookViewId="0">
      <selection activeCell="H7" sqref="H7"/>
    </sheetView>
  </sheetViews>
  <sheetFormatPr defaultRowHeight="14.4" x14ac:dyDescent="0.3"/>
  <cols>
    <col min="1" max="1" width="2.44140625" style="1" customWidth="1"/>
    <col min="2" max="2" width="2.21875" style="1" customWidth="1"/>
    <col min="3" max="3" width="1.77734375" style="1" customWidth="1"/>
    <col min="4" max="4" width="30.5546875" style="1" bestFit="1" customWidth="1"/>
    <col min="5" max="5" width="14.5546875" style="1" bestFit="1" customWidth="1"/>
    <col min="6" max="6" width="8.88671875" style="1"/>
    <col min="7" max="7" width="15.5546875" style="1" bestFit="1" customWidth="1"/>
    <col min="8" max="8" width="8.88671875" style="1"/>
    <col min="9" max="11" width="11.77734375" style="1" customWidth="1"/>
    <col min="12" max="12" width="10.21875" style="1" bestFit="1" customWidth="1"/>
    <col min="13" max="16384" width="8.88671875" style="1"/>
  </cols>
  <sheetData>
    <row r="1" spans="4:12" x14ac:dyDescent="0.3">
      <c r="D1" s="1" t="s">
        <v>81</v>
      </c>
    </row>
    <row r="3" spans="4:12" ht="15" thickBot="1" x14ac:dyDescent="0.35"/>
    <row r="4" spans="4:12" ht="23.55" customHeight="1" x14ac:dyDescent="0.45">
      <c r="D4" s="50" t="s">
        <v>9</v>
      </c>
      <c r="E4" s="51"/>
      <c r="F4" s="51"/>
      <c r="G4" s="51"/>
      <c r="H4" s="51"/>
      <c r="I4" s="51"/>
      <c r="J4" s="51"/>
      <c r="K4" s="51"/>
      <c r="L4" s="52"/>
    </row>
    <row r="5" spans="4:12" ht="14.7" customHeight="1" x14ac:dyDescent="0.3">
      <c r="D5" s="53" t="s">
        <v>13</v>
      </c>
      <c r="E5" s="54"/>
      <c r="F5" s="54"/>
      <c r="G5" s="54"/>
      <c r="H5" s="54"/>
      <c r="I5" s="54"/>
      <c r="J5" s="54"/>
      <c r="K5" s="54"/>
      <c r="L5" s="55"/>
    </row>
    <row r="6" spans="4:12" ht="20.55" customHeight="1" x14ac:dyDescent="0.3">
      <c r="D6" s="9" t="s">
        <v>39</v>
      </c>
      <c r="E6" s="63" t="s">
        <v>16</v>
      </c>
      <c r="F6" s="64"/>
      <c r="G6" s="65" t="s">
        <v>15</v>
      </c>
      <c r="H6" s="64"/>
      <c r="I6" s="56" t="s">
        <v>52</v>
      </c>
      <c r="J6" s="57"/>
      <c r="K6" s="57"/>
      <c r="L6" s="58"/>
    </row>
    <row r="7" spans="4:12" ht="14.7" customHeight="1" x14ac:dyDescent="0.3">
      <c r="D7" s="7" t="s">
        <v>17</v>
      </c>
      <c r="E7" s="4" t="s">
        <v>18</v>
      </c>
      <c r="F7" s="15"/>
      <c r="G7" s="12" t="s">
        <v>19</v>
      </c>
      <c r="H7" s="2"/>
      <c r="I7" s="59">
        <f>COUNTA(F7:F23)+2*COUNTA(H7:H20)</f>
        <v>0</v>
      </c>
      <c r="J7" s="60"/>
      <c r="K7" s="60"/>
      <c r="L7" s="60"/>
    </row>
    <row r="8" spans="4:12" ht="15.45" customHeight="1" x14ac:dyDescent="0.3">
      <c r="D8" s="7" t="s">
        <v>20</v>
      </c>
      <c r="E8" s="4" t="s">
        <v>21</v>
      </c>
      <c r="F8" s="15"/>
      <c r="G8" s="12" t="s">
        <v>22</v>
      </c>
      <c r="H8" s="2"/>
      <c r="I8" s="59"/>
      <c r="J8" s="60"/>
      <c r="K8" s="60"/>
      <c r="L8" s="60"/>
    </row>
    <row r="9" spans="4:12" ht="14.7" customHeight="1" x14ac:dyDescent="0.3">
      <c r="D9" s="7" t="s">
        <v>29</v>
      </c>
      <c r="E9" s="4" t="s">
        <v>40</v>
      </c>
      <c r="F9" s="15"/>
      <c r="G9" s="12" t="s">
        <v>57</v>
      </c>
      <c r="H9" s="2"/>
      <c r="I9" s="59"/>
      <c r="J9" s="60"/>
      <c r="K9" s="60"/>
      <c r="L9" s="60"/>
    </row>
    <row r="10" spans="4:12" ht="14.7" customHeight="1" x14ac:dyDescent="0.3">
      <c r="D10" s="7" t="s">
        <v>30</v>
      </c>
      <c r="E10" s="4" t="s">
        <v>23</v>
      </c>
      <c r="F10" s="15"/>
      <c r="G10" s="12" t="s">
        <v>41</v>
      </c>
      <c r="H10" s="2"/>
      <c r="I10" s="59"/>
      <c r="J10" s="60"/>
      <c r="K10" s="60"/>
      <c r="L10" s="60"/>
    </row>
    <row r="11" spans="4:12" ht="14.7" customHeight="1" x14ac:dyDescent="0.3">
      <c r="D11" s="7" t="s">
        <v>31</v>
      </c>
      <c r="E11" s="5" t="s">
        <v>38</v>
      </c>
      <c r="F11" s="15"/>
      <c r="G11" s="17" t="s">
        <v>60</v>
      </c>
      <c r="H11" s="2"/>
      <c r="I11" s="59"/>
      <c r="J11" s="60"/>
      <c r="K11" s="60"/>
      <c r="L11" s="60"/>
    </row>
    <row r="12" spans="4:12" ht="14.7" customHeight="1" x14ac:dyDescent="0.3">
      <c r="D12" s="7" t="s">
        <v>11</v>
      </c>
      <c r="E12" s="4" t="s">
        <v>24</v>
      </c>
      <c r="F12" s="15"/>
      <c r="G12" s="12" t="s">
        <v>42</v>
      </c>
      <c r="H12" s="2"/>
      <c r="I12" s="61"/>
      <c r="J12" s="62"/>
      <c r="K12" s="62"/>
      <c r="L12" s="62"/>
    </row>
    <row r="13" spans="4:12" ht="14.7" customHeight="1" x14ac:dyDescent="0.3">
      <c r="D13" s="7" t="s">
        <v>32</v>
      </c>
      <c r="E13" s="4" t="s">
        <v>61</v>
      </c>
      <c r="F13" s="15"/>
      <c r="G13" s="13" t="s">
        <v>62</v>
      </c>
      <c r="H13" s="2"/>
      <c r="I13" s="28" t="s">
        <v>51</v>
      </c>
      <c r="J13" s="29"/>
      <c r="K13" s="29"/>
      <c r="L13" s="30"/>
    </row>
    <row r="14" spans="4:12" x14ac:dyDescent="0.3">
      <c r="D14" s="7" t="s">
        <v>33</v>
      </c>
      <c r="E14" s="4" t="s">
        <v>49</v>
      </c>
      <c r="F14" s="18"/>
      <c r="G14" s="17" t="s">
        <v>63</v>
      </c>
      <c r="H14" s="2"/>
      <c r="I14" s="44" t="s">
        <v>59</v>
      </c>
      <c r="J14" s="45"/>
      <c r="K14" s="45"/>
      <c r="L14" s="31" t="s">
        <v>82</v>
      </c>
    </row>
    <row r="15" spans="4:12" x14ac:dyDescent="0.3">
      <c r="D15" s="7" t="s">
        <v>34</v>
      </c>
      <c r="E15" s="4" t="s">
        <v>56</v>
      </c>
      <c r="F15" s="15"/>
      <c r="G15" s="13" t="s">
        <v>43</v>
      </c>
      <c r="H15" s="2"/>
      <c r="I15" s="46"/>
      <c r="J15" s="47"/>
      <c r="K15" s="47"/>
      <c r="L15" s="32"/>
    </row>
    <row r="16" spans="4:12" ht="14.7" customHeight="1" x14ac:dyDescent="0.3">
      <c r="D16" s="7" t="s">
        <v>35</v>
      </c>
      <c r="E16" s="4" t="s">
        <v>25</v>
      </c>
      <c r="F16" s="15"/>
      <c r="G16" s="12" t="s">
        <v>44</v>
      </c>
      <c r="H16" s="2"/>
      <c r="I16" s="46"/>
      <c r="J16" s="47"/>
      <c r="K16" s="47"/>
      <c r="L16" s="42" t="s">
        <v>83</v>
      </c>
    </row>
    <row r="17" spans="4:12" ht="14.7" customHeight="1" x14ac:dyDescent="0.3">
      <c r="D17" s="7" t="s">
        <v>12</v>
      </c>
      <c r="E17" s="4" t="s">
        <v>45</v>
      </c>
      <c r="F17" s="15"/>
      <c r="G17" s="12" t="s">
        <v>46</v>
      </c>
      <c r="H17" s="2"/>
      <c r="I17" s="48"/>
      <c r="J17" s="49"/>
      <c r="K17" s="49"/>
      <c r="L17" s="43"/>
    </row>
    <row r="18" spans="4:12" ht="14.7" customHeight="1" x14ac:dyDescent="0.3">
      <c r="D18" s="7" t="s">
        <v>36</v>
      </c>
      <c r="E18" s="4" t="s">
        <v>21</v>
      </c>
      <c r="F18" s="15"/>
      <c r="G18" s="12" t="s">
        <v>47</v>
      </c>
      <c r="H18" s="2"/>
      <c r="I18" s="38" t="s">
        <v>1</v>
      </c>
      <c r="J18" s="39"/>
      <c r="K18" s="39"/>
      <c r="L18" s="32" t="s">
        <v>4</v>
      </c>
    </row>
    <row r="19" spans="4:12" ht="14.7" customHeight="1" x14ac:dyDescent="0.3">
      <c r="D19" s="7" t="s">
        <v>37</v>
      </c>
      <c r="E19" s="4" t="s">
        <v>26</v>
      </c>
      <c r="F19" s="15"/>
      <c r="G19" s="17" t="s">
        <v>64</v>
      </c>
      <c r="H19" s="2"/>
      <c r="I19" s="40"/>
      <c r="J19" s="41"/>
      <c r="K19" s="41"/>
      <c r="L19" s="32"/>
    </row>
    <row r="20" spans="4:12" ht="14.7" customHeight="1" x14ac:dyDescent="0.3">
      <c r="D20" s="7" t="s">
        <v>58</v>
      </c>
      <c r="E20" s="6" t="s">
        <v>27</v>
      </c>
      <c r="F20" s="15"/>
      <c r="G20" s="13" t="s">
        <v>48</v>
      </c>
      <c r="H20" s="2"/>
      <c r="I20" s="38" t="s">
        <v>8</v>
      </c>
      <c r="J20" s="39"/>
      <c r="K20" s="39"/>
      <c r="L20" s="31" t="s">
        <v>50</v>
      </c>
    </row>
    <row r="21" spans="4:12" ht="14.7" customHeight="1" x14ac:dyDescent="0.3">
      <c r="D21" s="7" t="s">
        <v>53</v>
      </c>
      <c r="E21" s="4" t="s">
        <v>28</v>
      </c>
      <c r="F21" s="15"/>
      <c r="G21" s="12" t="s">
        <v>49</v>
      </c>
      <c r="H21" s="3"/>
      <c r="I21" s="40"/>
      <c r="J21" s="41"/>
      <c r="K21" s="41"/>
      <c r="L21" s="32"/>
    </row>
    <row r="22" spans="4:12" ht="14.7" customHeight="1" x14ac:dyDescent="0.3">
      <c r="D22" s="8" t="s">
        <v>54</v>
      </c>
      <c r="E22" s="4" t="s">
        <v>28</v>
      </c>
      <c r="F22" s="16"/>
      <c r="G22" s="12" t="s">
        <v>49</v>
      </c>
      <c r="H22" s="3"/>
      <c r="I22" s="33"/>
      <c r="J22" s="34"/>
      <c r="K22" s="34"/>
      <c r="L22" s="31" t="s">
        <v>66</v>
      </c>
    </row>
    <row r="23" spans="4:12" ht="16.5" customHeight="1" x14ac:dyDescent="0.3">
      <c r="D23" s="8" t="s">
        <v>55</v>
      </c>
      <c r="E23" s="4" t="s">
        <v>28</v>
      </c>
      <c r="F23" s="15"/>
      <c r="G23" s="14" t="s">
        <v>49</v>
      </c>
      <c r="H23" s="10"/>
      <c r="I23" s="35"/>
      <c r="J23" s="36"/>
      <c r="K23" s="36"/>
      <c r="L23" s="32"/>
    </row>
    <row r="24" spans="4:12" ht="16.5" customHeight="1" x14ac:dyDescent="0.3">
      <c r="D24" s="27"/>
      <c r="E24" s="27"/>
      <c r="F24" s="27"/>
      <c r="G24" s="27"/>
      <c r="H24" s="27"/>
      <c r="I24" s="37" t="s">
        <v>80</v>
      </c>
      <c r="J24" s="37"/>
      <c r="K24" s="37"/>
      <c r="L24" s="11" t="s">
        <v>14</v>
      </c>
    </row>
    <row r="25" spans="4:12" x14ac:dyDescent="0.3">
      <c r="D25" s="19" t="s">
        <v>65</v>
      </c>
    </row>
    <row r="27" spans="4:12" x14ac:dyDescent="0.3">
      <c r="D27" s="23" t="s">
        <v>70</v>
      </c>
      <c r="E27" s="22" t="s">
        <v>84</v>
      </c>
      <c r="F27" s="21"/>
      <c r="G27" s="21"/>
      <c r="H27" s="21"/>
      <c r="I27" s="21"/>
      <c r="J27" s="21"/>
      <c r="K27" s="21"/>
      <c r="L27" s="21"/>
    </row>
  </sheetData>
  <sheetProtection sheet="1" formatCells="0" formatColumns="0" formatRows="0" selectLockedCells="1"/>
  <protectedRanges>
    <protectedRange sqref="H7:H23" name="Risk Selectors High"/>
    <protectedRange sqref="I14:K24" name="Status"/>
    <protectedRange sqref="F7:F23" name="Risk Selectors Medium"/>
    <protectedRange sqref="E27" name="SystemText"/>
  </protectedRanges>
  <customSheetViews>
    <customSheetView guid="{E8033D3C-DF7C-4BC5-87D6-21AC5DB2383B}" scale="197">
      <selection activeCell="I1" sqref="I1"/>
      <pageMargins left="0.7" right="0.7" top="0.75" bottom="0.75" header="0.3" footer="0.3"/>
      <pageSetup orientation="portrait" horizontalDpi="300" verticalDpi="300" r:id="rId1"/>
    </customSheetView>
  </customSheetViews>
  <mergeCells count="18">
    <mergeCell ref="D4:L4"/>
    <mergeCell ref="D5:L5"/>
    <mergeCell ref="I6:L6"/>
    <mergeCell ref="I7:L12"/>
    <mergeCell ref="E6:F6"/>
    <mergeCell ref="G6:H6"/>
    <mergeCell ref="D24:H24"/>
    <mergeCell ref="I13:L13"/>
    <mergeCell ref="L14:L15"/>
    <mergeCell ref="L22:L23"/>
    <mergeCell ref="I22:K23"/>
    <mergeCell ref="I24:K24"/>
    <mergeCell ref="I18:K19"/>
    <mergeCell ref="I20:K21"/>
    <mergeCell ref="L16:L17"/>
    <mergeCell ref="I14:K17"/>
    <mergeCell ref="L20:L21"/>
    <mergeCell ref="L18:L19"/>
  </mergeCells>
  <conditionalFormatting sqref="H7:H23">
    <cfRule type="expression" dxfId="18" priority="20">
      <formula>NOT(ISBLANK(H7))</formula>
    </cfRule>
  </conditionalFormatting>
  <conditionalFormatting sqref="I14:K17">
    <cfRule type="containsText" dxfId="17" priority="1" stopIfTrue="1" operator="containsText" text="EMERG">
      <formula>NOT(ISERROR(SEARCH("EMERG",I14)))</formula>
    </cfRule>
    <cfRule type="cellIs" dxfId="16" priority="16" stopIfTrue="1" operator="equal">
      <formula>"Approved for Launch"</formula>
    </cfRule>
  </conditionalFormatting>
  <conditionalFormatting sqref="I18:K19">
    <cfRule type="cellIs" dxfId="15" priority="13" stopIfTrue="1" operator="equal">
      <formula>"Dual"</formula>
    </cfRule>
    <cfRule type="cellIs" dxfId="14" priority="14" stopIfTrue="1" operator="equal">
      <formula>"Unrestricted"</formula>
    </cfRule>
  </conditionalFormatting>
  <conditionalFormatting sqref="I20:K21">
    <cfRule type="cellIs" dxfId="13" priority="8" stopIfTrue="1" operator="equal">
      <formula>"No Patterns"</formula>
    </cfRule>
    <cfRule type="cellIs" dxfId="12" priority="9" stopIfTrue="1" operator="equal">
      <formula>"S Only"</formula>
    </cfRule>
    <cfRule type="cellIs" dxfId="11" priority="10" stopIfTrue="1" operator="equal">
      <formula>"N Only"</formula>
    </cfRule>
    <cfRule type="cellIs" dxfId="10" priority="11" stopIfTrue="1" operator="equal">
      <formula>"Patterns Only"</formula>
    </cfRule>
    <cfRule type="cellIs" dxfId="9" priority="12" stopIfTrue="1" operator="equal">
      <formula>"Both Areas"</formula>
    </cfRule>
  </conditionalFormatting>
  <conditionalFormatting sqref="I22">
    <cfRule type="cellIs" dxfId="8" priority="7" operator="equal">
      <formula>""</formula>
    </cfRule>
  </conditionalFormatting>
  <conditionalFormatting sqref="F7:F23">
    <cfRule type="expression" dxfId="7" priority="6">
      <formula>NOT(ISBLANK(F7))</formula>
    </cfRule>
  </conditionalFormatting>
  <conditionalFormatting sqref="E7:E23">
    <cfRule type="expression" dxfId="6" priority="5">
      <formula>NOT(ISBLANK(F7))</formula>
    </cfRule>
  </conditionalFormatting>
  <conditionalFormatting sqref="G7:G23">
    <cfRule type="expression" dxfId="5" priority="4">
      <formula>NOT(ISBLANK(H7))</formula>
    </cfRule>
  </conditionalFormatting>
  <conditionalFormatting sqref="D7:D23">
    <cfRule type="expression" dxfId="4" priority="2">
      <formula>NOT(ISBLANK(H7))</formula>
    </cfRule>
    <cfRule type="expression" dxfId="3" priority="3">
      <formula>NOT(ISBLANK(F7))</formula>
    </cfRule>
  </conditionalFormatting>
  <dataValidations count="1">
    <dataValidation allowBlank="1" showInputMessage="1" showErrorMessage="1" errorTitle="Calculated Field" error="Do not change SCO number directly. Use risk items." sqref="I7"/>
  </dataValidation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UpdateBtn">
              <controlPr locked="0" defaultSize="0" print="0" disabled="1" autoFill="0" autoPict="0" macro="[0]!UpdateStatus">
                <anchor moveWithCells="1" sizeWithCells="1">
                  <from>
                    <xdr:col>4</xdr:col>
                    <xdr:colOff>220980</xdr:colOff>
                    <xdr:row>0</xdr:row>
                    <xdr:rowOff>68580</xdr:rowOff>
                  </from>
                  <to>
                    <xdr:col>8</xdr:col>
                    <xdr:colOff>762000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ResetBtn">
              <controlPr defaultSize="0" print="0" autoFill="0" autoPict="0" macro="[0]!ResetStatus_Click">
                <anchor moveWithCells="1" sizeWithCells="1">
                  <from>
                    <xdr:col>3</xdr:col>
                    <xdr:colOff>7620</xdr:colOff>
                    <xdr:row>0</xdr:row>
                    <xdr:rowOff>167640</xdr:rowOff>
                  </from>
                  <to>
                    <xdr:col>3</xdr:col>
                    <xdr:colOff>1584960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ExportBtn">
              <controlPr defaultSize="0" print="0" autoFill="0" autoPict="0" macro="[0]!ExportStatus">
                <anchor moveWithCells="1" sizeWithCells="1">
                  <from>
                    <xdr:col>9</xdr:col>
                    <xdr:colOff>731520</xdr:colOff>
                    <xdr:row>0</xdr:row>
                    <xdr:rowOff>175260</xdr:rowOff>
                  </from>
                  <to>
                    <xdr:col>11</xdr:col>
                    <xdr:colOff>693420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stopIfTrue="1" operator="containsText" id="{F06EEC67-B37D-4381-AD27-6F5C6062DAE7}">
            <xm:f>NOT(ISERROR(SEARCH("Stop Launch",I14)))</xm:f>
            <xm:f>"Stop Launch"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8" stopIfTrue="1" operator="containsText" id="{6870C604-269B-4861-B912-26E9E3D95C43}">
            <xm:f>NOT(ISERROR(SEARCH("Standby",I14)))</xm:f>
            <xm:f>"Standby"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19" stopIfTrue="1" operator="containsText" id="{0547F8A5-CAB8-4A06-BD7B-49701875CACC}">
            <xm:f>NOT(ISERROR(SEARCH("CANX",I14)))</xm:f>
            <xm:f>"CANX"</xm:f>
            <x14:dxf>
              <fill>
                <patternFill>
                  <bgColor rgb="FFFF9999"/>
                </patternFill>
              </fill>
            </x14:dxf>
          </x14:cfRule>
          <xm:sqref>I14:K17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Choose from dropdown.">
          <x14:formula1>
            <xm:f>Control!$A$2:$A$3</xm:f>
          </x14:formula1>
          <xm:sqref>I18:K19</xm:sqref>
        </x14:dataValidation>
        <x14:dataValidation type="list" allowBlank="1" showInputMessage="1" showErrorMessage="1" errorTitle="Select from dropdown">
          <x14:formula1>
            <xm:f>Control!$C$2:$C$6</xm:f>
          </x14:formula1>
          <xm:sqref>I20:K21</xm:sqref>
        </x14:dataValidation>
        <x14:dataValidation type="list" allowBlank="1" showInputMessage="1" showErrorMessage="1">
          <x14:formula1>
            <xm:f>Control!$F$2:$F$10</xm:f>
          </x14:formula1>
          <xm:sqref>I14:K17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B27" sqref="B27"/>
    </sheetView>
  </sheetViews>
  <sheetFormatPr defaultRowHeight="14.4" x14ac:dyDescent="0.3"/>
  <sheetData>
    <row r="1" spans="1:6" x14ac:dyDescent="0.3">
      <c r="A1" t="s">
        <v>4</v>
      </c>
      <c r="C1" t="s">
        <v>5</v>
      </c>
      <c r="F1" t="s">
        <v>10</v>
      </c>
    </row>
    <row r="2" spans="1:6" x14ac:dyDescent="0.3">
      <c r="A2" t="s">
        <v>0</v>
      </c>
      <c r="C2" t="s">
        <v>2</v>
      </c>
      <c r="F2" t="s">
        <v>59</v>
      </c>
    </row>
    <row r="3" spans="1:6" x14ac:dyDescent="0.3">
      <c r="A3" t="s">
        <v>1</v>
      </c>
      <c r="C3" t="s">
        <v>3</v>
      </c>
      <c r="F3" t="s">
        <v>72</v>
      </c>
    </row>
    <row r="4" spans="1:6" x14ac:dyDescent="0.3">
      <c r="C4" t="s">
        <v>6</v>
      </c>
      <c r="F4" t="s">
        <v>74</v>
      </c>
    </row>
    <row r="5" spans="1:6" x14ac:dyDescent="0.3">
      <c r="C5" t="s">
        <v>7</v>
      </c>
      <c r="F5" t="s">
        <v>73</v>
      </c>
    </row>
    <row r="6" spans="1:6" x14ac:dyDescent="0.3">
      <c r="C6" t="s">
        <v>8</v>
      </c>
      <c r="F6" t="s">
        <v>77</v>
      </c>
    </row>
    <row r="7" spans="1:6" x14ac:dyDescent="0.3">
      <c r="F7" t="s">
        <v>78</v>
      </c>
    </row>
    <row r="8" spans="1:6" x14ac:dyDescent="0.3">
      <c r="F8" t="s">
        <v>75</v>
      </c>
    </row>
    <row r="9" spans="1:6" x14ac:dyDescent="0.3">
      <c r="F9" t="s">
        <v>76</v>
      </c>
    </row>
    <row r="10" spans="1:6" x14ac:dyDescent="0.3">
      <c r="F10" t="s">
        <v>79</v>
      </c>
    </row>
  </sheetData>
  <sheetProtection selectLockedCells="1" selectUnlockedCells="1"/>
  <customSheetViews>
    <customSheetView guid="{E8033D3C-DF7C-4BC5-87D6-21AC5DB2383B}">
      <selection activeCell="H13" sqref="H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5"/>
  <sheetViews>
    <sheetView workbookViewId="0">
      <selection activeCell="F3" sqref="F3"/>
    </sheetView>
  </sheetViews>
  <sheetFormatPr defaultRowHeight="14.4" x14ac:dyDescent="0.3"/>
  <cols>
    <col min="1" max="1" width="14.6640625" style="24" bestFit="1" customWidth="1"/>
    <col min="2" max="2" width="13.44140625" style="24" bestFit="1" customWidth="1"/>
    <col min="3" max="3" width="18.109375" bestFit="1" customWidth="1"/>
  </cols>
  <sheetData>
    <row r="1" spans="1:3" x14ac:dyDescent="0.3">
      <c r="A1" s="24" t="s">
        <v>67</v>
      </c>
    </row>
    <row r="2" spans="1:3" x14ac:dyDescent="0.3">
      <c r="A2" s="26">
        <f ca="1">TODAY()</f>
        <v>43728</v>
      </c>
    </row>
    <row r="3" spans="1:3" x14ac:dyDescent="0.3">
      <c r="A3" s="25" t="s">
        <v>68</v>
      </c>
      <c r="B3" s="24" t="s">
        <v>71</v>
      </c>
      <c r="C3" s="20" t="s">
        <v>69</v>
      </c>
    </row>
    <row r="4" spans="1:3" x14ac:dyDescent="0.3">
      <c r="A4" s="25"/>
      <c r="C4" s="20"/>
    </row>
    <row r="5" spans="1:3" x14ac:dyDescent="0.3">
      <c r="A5" s="25"/>
    </row>
    <row r="6" spans="1:3" x14ac:dyDescent="0.3">
      <c r="A6" s="25"/>
    </row>
    <row r="7" spans="1:3" x14ac:dyDescent="0.3">
      <c r="A7" s="25"/>
      <c r="C7" s="20"/>
    </row>
    <row r="8" spans="1:3" x14ac:dyDescent="0.3">
      <c r="A8" s="25"/>
      <c r="C8" s="20"/>
    </row>
    <row r="9" spans="1:3" x14ac:dyDescent="0.3">
      <c r="A9" s="25"/>
      <c r="C9" s="20"/>
    </row>
    <row r="10" spans="1:3" x14ac:dyDescent="0.3">
      <c r="A10" s="25"/>
    </row>
    <row r="11" spans="1:3" x14ac:dyDescent="0.3">
      <c r="A11" s="25"/>
    </row>
    <row r="12" spans="1:3" x14ac:dyDescent="0.3">
      <c r="A12" s="25"/>
    </row>
    <row r="13" spans="1:3" x14ac:dyDescent="0.3">
      <c r="A13" s="25"/>
      <c r="C13" s="20"/>
    </row>
    <row r="14" spans="1:3" x14ac:dyDescent="0.3">
      <c r="A14" s="25"/>
    </row>
    <row r="15" spans="1:3" x14ac:dyDescent="0.3">
      <c r="A15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Main</vt:lpstr>
      <vt:lpstr>Control</vt:lpstr>
      <vt:lpstr>Log</vt:lpstr>
      <vt:lpstr>AreaStatus</vt:lpstr>
      <vt:lpstr>AsOfTime</vt:lpstr>
      <vt:lpstr>CrewStatus</vt:lpstr>
      <vt:lpstr>HighItems</vt:lpstr>
      <vt:lpstr>LaunchStatus</vt:lpstr>
      <vt:lpstr>MedItems</vt:lpstr>
      <vt:lpstr>Remarks</vt:lpstr>
      <vt:lpstr>SCONum</vt:lpstr>
      <vt:lpstr>SPLAStatus</vt:lpstr>
      <vt:lpstr>SystemStatus</vt:lpstr>
    </vt:vector>
  </TitlesOfParts>
  <Company>U.S. Air Force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HOLDEN, JOSHUA D 2d Lt USAF AETC 94 FTS/XXX</dc:creator>
  <cp:lastModifiedBy>Lara, Ignacio A C1C USAF USAFA CW/CS21</cp:lastModifiedBy>
  <dcterms:created xsi:type="dcterms:W3CDTF">2019-02-26T20:14:16Z</dcterms:created>
  <dcterms:modified xsi:type="dcterms:W3CDTF">2019-09-20T16:05:37Z</dcterms:modified>
</cp:coreProperties>
</file>